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imatlar" sheetId="1" state="visible" r:id="rId3"/>
    <sheet name="Ölçüm Form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<sst xmlns="http://schemas.openxmlformats.org/spreadsheetml/2006/main" count="123" uniqueCount="99">
  <si>
    <t xml:space="preserve">BAŞDAŞ MARKET — SAHA ZAMAN ETÜDÜ ÖLÇÜM FORMU</t>
  </si>
  <si>
    <t xml:space="preserve">NEDEN BU FORM VAR?</t>
  </si>
  <si>
    <t xml:space="preserve">Sistemdeki 'Standart Süre Kütüphanesi' sayfasında, her aktivitenin (ör. bir fiş işleme, bir kasa açılışı) ne kadar sürdüğü şu an GERÇEK BİR ÖLÇÜME DAYANMIYOR — sadece makul bir varsayım. Bu varsayımlar, AI'nin norm/iş yükü önerilerini doğrudan etkiliyor. Bu formu doldurmak, o varsayımların yerine GERÇEK, ÖLÇÜLMÜŞ süreleri koymamızı sağlar.</t>
  </si>
  <si>
    <t xml:space="preserve">NASIL ÖLÇÜM YAPILIR?</t>
  </si>
  <si>
    <t xml:space="preserve">1. Bir kronometre (telefon kronometresi yeterli) kullanın.</t>
  </si>
  <si>
    <t xml:space="preserve">2. Her aktivite için AYNI çalışanın değil, MÜMKÜNSE FARKLI çalışanların, FARKLI saatlerde (sabah/öğlen/akşam) yaptığı işlemleri ölçün — tek bir kişinin/anın süresi yanıltıcı olabilir.</t>
  </si>
  <si>
    <t xml:space="preserve">3. Her aktivite için EN AZ 5 ÖLÇÜM yapın (formda 5 sütun ayrılmıştır). Ne kadar çok ölçüm, o kadar güvenilir ortalama.</t>
  </si>
  <si>
    <t xml:space="preserve">4. 'İşlem başlangıcı' ile 'işlem bitişi'ni net tanımlayın — ör. Fiş işlemi için: müşterinin ilk ürününün okutulmasından, ödeme onayına kadar geçen süre.</t>
  </si>
  <si>
    <t xml:space="preserve">5. Anormal/kesintili durumları (müşteri şikayeti, sistem arızası vb.) ölçüme DAHİL ETMEYİN — sadece normal, kesintisiz işlemi ölçün.</t>
  </si>
  <si>
    <t xml:space="preserve">6. Süreleri DAKİKA cinsinden, virgülle (ondalık) yazın — ör. 1 dakika 30 saniye = 1,5</t>
  </si>
  <si>
    <t xml:space="preserve">KİM DOLDURMALI?</t>
  </si>
  <si>
    <t xml:space="preserve">Mağaza müdürleri veya bölge sorumluları — kendi mağazasındaki gerçek çalışanları gözlemleyerek.</t>
  </si>
  <si>
    <t xml:space="preserve">DOLDURDUKTAN SONRA NE OLACAK?</t>
  </si>
  <si>
    <t xml:space="preserve">Bu form (Excel dosyası olarak) İK Direktörlüğü'ne geri gönderilir. 'saha_olcumu_ice_aktar.py' betiği, doldurulan ortalamaları ana sistem dosyasındaki (NORM_BASDAS_FORMULLER_DUZELTILDI.xlsx) 'Standart_Sure_Kutuphanesi' sayfasına aktarır — mevcut 'Saha Etüdü Bekleniyor' etiketi otomatik olarak 'Gerçek/Saha Ölçümü' ile değiştirilir, ölçen kişi ve tarih kaydedilir.</t>
  </si>
  <si>
    <t xml:space="preserve">ÖNEMLİ</t>
  </si>
  <si>
    <t xml:space="preserve">Sarı/mavi renkli hücreler DOLDURULACAK hücrelerdir. Diğer hücrelere (AktiviteID, Unvan, Aktivite, Mevcut Varsayım) DOKUNMAYIN — bunlar referans içindir.</t>
  </si>
  <si>
    <t xml:space="preserve">AktiviteID</t>
  </si>
  <si>
    <t xml:space="preserve">Unvan</t>
  </si>
  <si>
    <t xml:space="preserve">Aktivite</t>
  </si>
  <si>
    <t xml:space="preserve">Ölçü Birimi</t>
  </si>
  <si>
    <t xml:space="preserve">Mevcut Varsayım (Dk)</t>
  </si>
  <si>
    <t xml:space="preserve">Ölçüm 1 (Dk)</t>
  </si>
  <si>
    <t xml:space="preserve">Ölçüm 2 (Dk)</t>
  </si>
  <si>
    <t xml:space="preserve">Ölçüm 3 (Dk)</t>
  </si>
  <si>
    <t xml:space="preserve">Ölçüm 4 (Dk)</t>
  </si>
  <si>
    <t xml:space="preserve">Ölçüm 5 (Dk)</t>
  </si>
  <si>
    <t xml:space="preserve">ORTALAMA (Dk)</t>
  </si>
  <si>
    <t xml:space="preserve">Ölçülen Mağaza</t>
  </si>
  <si>
    <t xml:space="preserve">Ölçen Kişi</t>
  </si>
  <si>
    <t xml:space="preserve">Ölçüm Tarihi</t>
  </si>
  <si>
    <t xml:space="preserve">Not</t>
  </si>
  <si>
    <t xml:space="preserve">ÖRNEK SATIR (silin, doldurmayın)</t>
  </si>
  <si>
    <t xml:space="preserve">KASİYER</t>
  </si>
  <si>
    <t xml:space="preserve">Fiş işlemi</t>
  </si>
  <si>
    <t xml:space="preserve">Fiş</t>
  </si>
  <si>
    <t xml:space="preserve">AKEVLER</t>
  </si>
  <si>
    <t xml:space="preserve">Ayşe Yılmaz</t>
  </si>
  <si>
    <t xml:space="preserve">01.08.2026</t>
  </si>
  <si>
    <t xml:space="preserve">Yoğun saatte ölçüldü</t>
  </si>
  <si>
    <t xml:space="preserve">A001</t>
  </si>
  <si>
    <t xml:space="preserve">A002</t>
  </si>
  <si>
    <t xml:space="preserve">Kasa açılışı</t>
  </si>
  <si>
    <t xml:space="preserve">Kasa</t>
  </si>
  <si>
    <t xml:space="preserve">A003</t>
  </si>
  <si>
    <t xml:space="preserve">Kasa kapanışı</t>
  </si>
  <si>
    <t xml:space="preserve">A004</t>
  </si>
  <si>
    <t xml:space="preserve">İade işlemi</t>
  </si>
  <si>
    <t xml:space="preserve">İşlem</t>
  </si>
  <si>
    <t xml:space="preserve">A005</t>
  </si>
  <si>
    <t xml:space="preserve">REYON GÖREVLİSİ</t>
  </si>
  <si>
    <t xml:space="preserve">Koli raf yerleştirme</t>
  </si>
  <si>
    <t xml:space="preserve">Koli</t>
  </si>
  <si>
    <t xml:space="preserve">A006</t>
  </si>
  <si>
    <t xml:space="preserve">Palet boşaltma</t>
  </si>
  <si>
    <t xml:space="preserve">Palet</t>
  </si>
  <si>
    <t xml:space="preserve">A007</t>
  </si>
  <si>
    <t xml:space="preserve">Etiket değiştirme</t>
  </si>
  <si>
    <t xml:space="preserve">Etiket</t>
  </si>
  <si>
    <t xml:space="preserve">A008</t>
  </si>
  <si>
    <t xml:space="preserve">SKT kontrolü</t>
  </si>
  <si>
    <t xml:space="preserve">Ürün</t>
  </si>
  <si>
    <t xml:space="preserve">A009</t>
  </si>
  <si>
    <t xml:space="preserve">ŞARKÜTERİ</t>
  </si>
  <si>
    <t xml:space="preserve">Müşteri servis süresi</t>
  </si>
  <si>
    <t xml:space="preserve">Müşteri</t>
  </si>
  <si>
    <t xml:space="preserve">A010</t>
  </si>
  <si>
    <t xml:space="preserve">Günlük temizlik</t>
  </si>
  <si>
    <t xml:space="preserve">Gün</t>
  </si>
  <si>
    <t xml:space="preserve">A011</t>
  </si>
  <si>
    <t xml:space="preserve">Ürün hazırlama</t>
  </si>
  <si>
    <t xml:space="preserve">Kg</t>
  </si>
  <si>
    <t xml:space="preserve">A012</t>
  </si>
  <si>
    <t xml:space="preserve">KASAP</t>
  </si>
  <si>
    <t xml:space="preserve">Teşhir hazırlığı</t>
  </si>
  <si>
    <t xml:space="preserve">A013</t>
  </si>
  <si>
    <t xml:space="preserve">Parçalama</t>
  </si>
  <si>
    <t xml:space="preserve">A014</t>
  </si>
  <si>
    <t xml:space="preserve">Paketleme</t>
  </si>
  <si>
    <t xml:space="preserve">Paket</t>
  </si>
  <si>
    <t xml:space="preserve">A015</t>
  </si>
  <si>
    <t xml:space="preserve">MANAV</t>
  </si>
  <si>
    <t xml:space="preserve">A016</t>
  </si>
  <si>
    <t xml:space="preserve">Ayıklama</t>
  </si>
  <si>
    <t xml:space="preserve">A017</t>
  </si>
  <si>
    <t xml:space="preserve">Fire ayrıştırma</t>
  </si>
  <si>
    <t xml:space="preserve">A018</t>
  </si>
  <si>
    <t xml:space="preserve">ONLİNE TOPLAYICI</t>
  </si>
  <si>
    <t xml:space="preserve">Sipariş toplama</t>
  </si>
  <si>
    <t xml:space="preserve">Sipariş</t>
  </si>
  <si>
    <t xml:space="preserve">A019</t>
  </si>
  <si>
    <t xml:space="preserve">ONLİNE ŞOFÖR</t>
  </si>
  <si>
    <t xml:space="preserve">Sipariş teslimatı</t>
  </si>
  <si>
    <t xml:space="preserve">A020</t>
  </si>
  <si>
    <t xml:space="preserve">BAKLİYAT</t>
  </si>
  <si>
    <t xml:space="preserve">Ürün dolumu</t>
  </si>
  <si>
    <t xml:space="preserve">A021</t>
  </si>
  <si>
    <t xml:space="preserve">UNLU MAMÜLLER</t>
  </si>
  <si>
    <t xml:space="preserve">Ürün hazırlama/pişirme</t>
  </si>
  <si>
    <t xml:space="preserve">Parti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</si>
</sst>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3C36"/>
      <name val="Cambria"/>
      <family val="0"/>
      <charset val="1"/>
    </font>
    <font>
      <sz val="11"/>
      <color rgb="FF1B211F"/>
      <name val="Cambria"/>
      <family val="0"/>
      <charset val="1"/>
    </font>
    <font>
      <b val="true"/>
      <sz val="13"/>
      <color rgb="FF143C3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3C36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211F"/>
      <rgbColor rgb="FF993300"/>
      <rgbColor rgb="FF993366"/>
      <rgbColor rgb="FF333399"/>
      <rgbColor rgb="FF14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1" t="s">
        <v>0</v>
      </c>
    </row>
    <row r="2" customFormat="false" ht="19.5" hidden="false" customHeight="true" outlineLevel="0" collapsed="false">
      <c r="A2" s="2"/>
    </row>
    <row r="3" customFormat="false" ht="24" hidden="false" customHeight="true" outlineLevel="0" collapsed="false">
      <c r="A3" s="3" t="s">
        <v>1</v>
      </c>
    </row>
    <row r="4" customFormat="false" ht="607.5" hidden="false" customHeight="true" outlineLevel="0" collapsed="false">
      <c r="A4" s="2" t="s">
        <v>2</v>
      </c>
    </row>
    <row r="5" customFormat="false" ht="19.5" hidden="false" customHeight="true" outlineLevel="0" collapsed="false">
      <c r="A5" s="2"/>
    </row>
    <row r="6" customFormat="false" ht="24" hidden="false" customHeight="true" outlineLevel="0" collapsed="false">
      <c r="A6" s="3" t="s">
        <v>3</v>
      </c>
    </row>
    <row r="7" customFormat="false" ht="102" hidden="false" customHeight="true" outlineLevel="0" collapsed="false">
      <c r="A7" s="2" t="s">
        <v>4</v>
      </c>
    </row>
    <row r="8" customFormat="false" ht="324.75" hidden="false" customHeight="true" outlineLevel="0" collapsed="false">
      <c r="A8" s="2" t="s">
        <v>5</v>
      </c>
    </row>
    <row r="9" customFormat="false" ht="210" hidden="false" customHeight="true" outlineLevel="0" collapsed="false">
      <c r="A9" s="2" t="s">
        <v>6</v>
      </c>
    </row>
    <row r="10" customFormat="false" ht="270" hidden="false" customHeight="true" outlineLevel="0" collapsed="false">
      <c r="A10" s="2" t="s">
        <v>7</v>
      </c>
    </row>
    <row r="11" customFormat="false" ht="234.75" hidden="false" customHeight="true" outlineLevel="0" collapsed="false">
      <c r="A11" s="2" t="s">
        <v>8</v>
      </c>
    </row>
    <row r="12" customFormat="false" ht="150" hidden="false" customHeight="true" outlineLevel="0" collapsed="false">
      <c r="A12" s="2" t="s">
        <v>9</v>
      </c>
    </row>
    <row r="13" customFormat="false" ht="19.5" hidden="false" customHeight="true" outlineLevel="0" collapsed="false">
      <c r="A13" s="2"/>
    </row>
    <row r="14" customFormat="false" ht="24" hidden="false" customHeight="true" outlineLevel="0" collapsed="false">
      <c r="A14" s="3" t="s">
        <v>10</v>
      </c>
    </row>
    <row r="15" customFormat="false" ht="167.25" hidden="false" customHeight="true" outlineLevel="0" collapsed="false">
      <c r="A15" s="2" t="s">
        <v>11</v>
      </c>
    </row>
    <row r="16" customFormat="false" ht="19.5" hidden="false" customHeight="true" outlineLevel="0" collapsed="false">
      <c r="A16" s="2"/>
    </row>
    <row r="17" customFormat="false" ht="24" hidden="false" customHeight="true" outlineLevel="0" collapsed="false">
      <c r="A17" s="3" t="s">
        <v>12</v>
      </c>
    </row>
    <row r="18" customFormat="false" ht="647.25" hidden="false" customHeight="true" outlineLevel="0" collapsed="false">
      <c r="A18" s="2" t="s">
        <v>13</v>
      </c>
    </row>
    <row r="19" customFormat="false" ht="19.5" hidden="false" customHeight="true" outlineLevel="0" collapsed="false">
      <c r="A19" s="2"/>
    </row>
    <row r="20" customFormat="false" ht="24" hidden="false" customHeight="true" outlineLevel="0" collapsed="false">
      <c r="A20" s="3" t="s">
        <v>14</v>
      </c>
    </row>
    <row r="21" customFormat="false" ht="270" hidden="false" customHeight="true" outlineLevel="0" collapsed="false">
      <c r="A2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10" min="6" style="0" width="12"/>
    <col collapsed="false" customWidth="true" hidden="false" outlineLevel="0" max="11" min="11" style="0" width="14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25"/>
  </cols>
  <sheetData>
    <row r="1" customFormat="false" ht="28.3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</row>
    <row r="2" customFormat="false" ht="15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n">
        <v>2</v>
      </c>
      <c r="F2" s="5" t="n">
        <v>1.8</v>
      </c>
      <c r="G2" s="5" t="n">
        <v>2.1</v>
      </c>
      <c r="H2" s="5" t="n">
        <v>1.9</v>
      </c>
      <c r="I2" s="5" t="n">
        <v>2</v>
      </c>
      <c r="J2" s="5" t="n">
        <v>1.7</v>
      </c>
      <c r="K2" s="5" t="n">
        <f aca="false">AVERAGE(F2:J2)</f>
        <v>1.9</v>
      </c>
      <c r="L2" s="5" t="s">
        <v>35</v>
      </c>
      <c r="M2" s="5" t="s">
        <v>36</v>
      </c>
      <c r="N2" s="5" t="s">
        <v>37</v>
      </c>
      <c r="O2" s="5" t="s">
        <v>38</v>
      </c>
    </row>
    <row r="3" customFormat="false" ht="15" hidden="false" customHeight="false" outlineLevel="0" collapsed="false">
      <c r="A3" s="6" t="s">
        <v>39</v>
      </c>
      <c r="B3" s="6" t="s">
        <v>32</v>
      </c>
      <c r="C3" s="6" t="s">
        <v>33</v>
      </c>
      <c r="D3" s="6" t="s">
        <v>34</v>
      </c>
      <c r="E3" s="6" t="n">
        <v>2</v>
      </c>
      <c r="F3" s="7"/>
      <c r="G3" s="7"/>
      <c r="H3" s="7"/>
      <c r="I3" s="7"/>
      <c r="J3" s="7"/>
      <c r="K3" s="8" t="str">
        <f aca="false">IFERROR(AVERAGE(F3:J3),"")</f>
        <v/>
      </c>
      <c r="L3" s="7"/>
      <c r="M3" s="7"/>
      <c r="N3" s="7"/>
      <c r="O3" s="7"/>
    </row>
    <row r="4" customFormat="false" ht="15" hidden="false" customHeight="false" outlineLevel="0" collapsed="false">
      <c r="A4" s="6" t="s">
        <v>40</v>
      </c>
      <c r="B4" s="6" t="s">
        <v>32</v>
      </c>
      <c r="C4" s="6" t="s">
        <v>41</v>
      </c>
      <c r="D4" s="6" t="s">
        <v>42</v>
      </c>
      <c r="E4" s="6" t="n">
        <v>15</v>
      </c>
      <c r="F4" s="7"/>
      <c r="G4" s="7"/>
      <c r="H4" s="7"/>
      <c r="I4" s="7"/>
      <c r="J4" s="7"/>
      <c r="K4" s="8" t="str">
        <f aca="false">IFERROR(AVERAGE(F4:J4),"")</f>
        <v/>
      </c>
      <c r="L4" s="7"/>
      <c r="M4" s="7"/>
      <c r="N4" s="7"/>
      <c r="O4" s="7"/>
    </row>
    <row r="5" customFormat="false" ht="15" hidden="false" customHeight="false" outlineLevel="0" collapsed="false">
      <c r="A5" s="6" t="s">
        <v>43</v>
      </c>
      <c r="B5" s="6" t="s">
        <v>32</v>
      </c>
      <c r="C5" s="6" t="s">
        <v>44</v>
      </c>
      <c r="D5" s="6" t="s">
        <v>42</v>
      </c>
      <c r="E5" s="6" t="n">
        <v>20</v>
      </c>
      <c r="F5" s="7"/>
      <c r="G5" s="7"/>
      <c r="H5" s="7"/>
      <c r="I5" s="7"/>
      <c r="J5" s="7"/>
      <c r="K5" s="8" t="str">
        <f aca="false">IFERROR(AVERAGE(F5:J5),"")</f>
        <v/>
      </c>
      <c r="L5" s="7"/>
      <c r="M5" s="7"/>
      <c r="N5" s="7"/>
      <c r="O5" s="7"/>
    </row>
    <row r="6" customFormat="false" ht="15" hidden="false" customHeight="false" outlineLevel="0" collapsed="false">
      <c r="A6" s="6" t="s">
        <v>45</v>
      </c>
      <c r="B6" s="6" t="s">
        <v>32</v>
      </c>
      <c r="C6" s="6" t="s">
        <v>46</v>
      </c>
      <c r="D6" s="6" t="s">
        <v>47</v>
      </c>
      <c r="E6" s="6" t="n">
        <v>6</v>
      </c>
      <c r="F6" s="7"/>
      <c r="G6" s="7"/>
      <c r="H6" s="7"/>
      <c r="I6" s="7"/>
      <c r="J6" s="7"/>
      <c r="K6" s="8" t="str">
        <f aca="false">IFERROR(AVERAGE(F6:J6),"")</f>
        <v/>
      </c>
      <c r="L6" s="7"/>
      <c r="M6" s="7"/>
      <c r="N6" s="7"/>
      <c r="O6" s="7"/>
    </row>
    <row r="7" customFormat="false" ht="15" hidden="false" customHeight="false" outlineLevel="0" collapsed="false">
      <c r="A7" s="6" t="s">
        <v>48</v>
      </c>
      <c r="B7" s="6" t="s">
        <v>49</v>
      </c>
      <c r="C7" s="6" t="s">
        <v>50</v>
      </c>
      <c r="D7" s="6" t="s">
        <v>51</v>
      </c>
      <c r="E7" s="6" t="n">
        <v>1.8</v>
      </c>
      <c r="F7" s="7"/>
      <c r="G7" s="7"/>
      <c r="H7" s="7"/>
      <c r="I7" s="7"/>
      <c r="J7" s="7"/>
      <c r="K7" s="8" t="str">
        <f aca="false">IFERROR(AVERAGE(F7:J7),"")</f>
        <v/>
      </c>
      <c r="L7" s="7"/>
      <c r="M7" s="7"/>
      <c r="N7" s="7"/>
      <c r="O7" s="7"/>
    </row>
    <row r="8" customFormat="false" ht="15" hidden="false" customHeight="false" outlineLevel="0" collapsed="false">
      <c r="A8" s="6" t="s">
        <v>52</v>
      </c>
      <c r="B8" s="6" t="s">
        <v>49</v>
      </c>
      <c r="C8" s="6" t="s">
        <v>53</v>
      </c>
      <c r="D8" s="6" t="s">
        <v>54</v>
      </c>
      <c r="E8" s="6" t="n">
        <v>30</v>
      </c>
      <c r="F8" s="7"/>
      <c r="G8" s="7"/>
      <c r="H8" s="7"/>
      <c r="I8" s="7"/>
      <c r="J8" s="7"/>
      <c r="K8" s="8" t="str">
        <f aca="false">IFERROR(AVERAGE(F8:J8),"")</f>
        <v/>
      </c>
      <c r="L8" s="7"/>
      <c r="M8" s="7"/>
      <c r="N8" s="7"/>
      <c r="O8" s="7"/>
    </row>
    <row r="9" customFormat="false" ht="15" hidden="false" customHeight="false" outlineLevel="0" collapsed="false">
      <c r="A9" s="6" t="s">
        <v>55</v>
      </c>
      <c r="B9" s="6" t="s">
        <v>49</v>
      </c>
      <c r="C9" s="6" t="s">
        <v>56</v>
      </c>
      <c r="D9" s="6" t="s">
        <v>57</v>
      </c>
      <c r="E9" s="6" t="n">
        <v>0.45</v>
      </c>
      <c r="F9" s="7"/>
      <c r="G9" s="7"/>
      <c r="H9" s="7"/>
      <c r="I9" s="7"/>
      <c r="J9" s="7"/>
      <c r="K9" s="8" t="str">
        <f aca="false">IFERROR(AVERAGE(F9:J9),"")</f>
        <v/>
      </c>
      <c r="L9" s="7"/>
      <c r="M9" s="7"/>
      <c r="N9" s="7"/>
      <c r="O9" s="7"/>
    </row>
    <row r="10" customFormat="false" ht="15" hidden="false" customHeight="false" outlineLevel="0" collapsed="false">
      <c r="A10" s="6" t="s">
        <v>58</v>
      </c>
      <c r="B10" s="6" t="s">
        <v>49</v>
      </c>
      <c r="C10" s="6" t="s">
        <v>59</v>
      </c>
      <c r="D10" s="6" t="s">
        <v>60</v>
      </c>
      <c r="E10" s="6" t="n">
        <v>0.2</v>
      </c>
      <c r="F10" s="7"/>
      <c r="G10" s="7"/>
      <c r="H10" s="7"/>
      <c r="I10" s="7"/>
      <c r="J10" s="7"/>
      <c r="K10" s="8" t="str">
        <f aca="false">IFERROR(AVERAGE(F10:J10),"")</f>
        <v/>
      </c>
      <c r="L10" s="7"/>
      <c r="M10" s="7"/>
      <c r="N10" s="7"/>
      <c r="O10" s="7"/>
    </row>
    <row r="11" customFormat="false" ht="15" hidden="false" customHeight="false" outlineLevel="0" collapsed="false">
      <c r="A11" s="6" t="s">
        <v>61</v>
      </c>
      <c r="B11" s="6" t="s">
        <v>62</v>
      </c>
      <c r="C11" s="6" t="s">
        <v>63</v>
      </c>
      <c r="D11" s="6" t="s">
        <v>64</v>
      </c>
      <c r="E11" s="6" t="n">
        <v>4</v>
      </c>
      <c r="F11" s="7"/>
      <c r="G11" s="7"/>
      <c r="H11" s="7"/>
      <c r="I11" s="7"/>
      <c r="J11" s="7"/>
      <c r="K11" s="8" t="str">
        <f aca="false">IFERROR(AVERAGE(F11:J11),"")</f>
        <v/>
      </c>
      <c r="L11" s="7"/>
      <c r="M11" s="7"/>
      <c r="N11" s="7"/>
      <c r="O11" s="7"/>
    </row>
    <row r="12" customFormat="false" ht="15" hidden="false" customHeight="false" outlineLevel="0" collapsed="false">
      <c r="A12" s="6" t="s">
        <v>65</v>
      </c>
      <c r="B12" s="6" t="s">
        <v>62</v>
      </c>
      <c r="C12" s="6" t="s">
        <v>66</v>
      </c>
      <c r="D12" s="6" t="s">
        <v>67</v>
      </c>
      <c r="E12" s="6" t="n">
        <v>90</v>
      </c>
      <c r="F12" s="7"/>
      <c r="G12" s="7"/>
      <c r="H12" s="7"/>
      <c r="I12" s="7"/>
      <c r="J12" s="7"/>
      <c r="K12" s="8" t="str">
        <f aca="false">IFERROR(AVERAGE(F12:J12),"")</f>
        <v/>
      </c>
      <c r="L12" s="7"/>
      <c r="M12" s="7"/>
      <c r="N12" s="7"/>
      <c r="O12" s="7"/>
    </row>
    <row r="13" customFormat="false" ht="15" hidden="false" customHeight="false" outlineLevel="0" collapsed="false">
      <c r="A13" s="6" t="s">
        <v>68</v>
      </c>
      <c r="B13" s="6" t="s">
        <v>62</v>
      </c>
      <c r="C13" s="6" t="s">
        <v>69</v>
      </c>
      <c r="D13" s="6" t="s">
        <v>70</v>
      </c>
      <c r="E13" s="6" t="n">
        <v>1.5</v>
      </c>
      <c r="F13" s="7"/>
      <c r="G13" s="7"/>
      <c r="H13" s="7"/>
      <c r="I13" s="7"/>
      <c r="J13" s="7"/>
      <c r="K13" s="8" t="str">
        <f aca="false">IFERROR(AVERAGE(F13:J13),"")</f>
        <v/>
      </c>
      <c r="L13" s="7"/>
      <c r="M13" s="7"/>
      <c r="N13" s="7"/>
      <c r="O13" s="7"/>
    </row>
    <row r="14" customFormat="false" ht="15" hidden="false" customHeight="false" outlineLevel="0" collapsed="false">
      <c r="A14" s="6" t="s">
        <v>71</v>
      </c>
      <c r="B14" s="6" t="s">
        <v>72</v>
      </c>
      <c r="C14" s="6" t="s">
        <v>73</v>
      </c>
      <c r="D14" s="6" t="s">
        <v>67</v>
      </c>
      <c r="E14" s="6" t="n">
        <v>75</v>
      </c>
      <c r="F14" s="7"/>
      <c r="G14" s="7"/>
      <c r="H14" s="7"/>
      <c r="I14" s="7"/>
      <c r="J14" s="7"/>
      <c r="K14" s="8" t="str">
        <f aca="false">IFERROR(AVERAGE(F14:J14),"")</f>
        <v/>
      </c>
      <c r="L14" s="7"/>
      <c r="M14" s="7"/>
      <c r="N14" s="7"/>
      <c r="O14" s="7"/>
    </row>
    <row r="15" customFormat="false" ht="15" hidden="false" customHeight="false" outlineLevel="0" collapsed="false">
      <c r="A15" s="6" t="s">
        <v>74</v>
      </c>
      <c r="B15" s="6" t="s">
        <v>72</v>
      </c>
      <c r="C15" s="6" t="s">
        <v>75</v>
      </c>
      <c r="D15" s="6" t="s">
        <v>70</v>
      </c>
      <c r="E15" s="6" t="n">
        <v>2.5</v>
      </c>
      <c r="F15" s="7"/>
      <c r="G15" s="7"/>
      <c r="H15" s="7"/>
      <c r="I15" s="7"/>
      <c r="J15" s="7"/>
      <c r="K15" s="8" t="str">
        <f aca="false">IFERROR(AVERAGE(F15:J15),"")</f>
        <v/>
      </c>
      <c r="L15" s="7"/>
      <c r="M15" s="7"/>
      <c r="N15" s="7"/>
      <c r="O15" s="7"/>
    </row>
    <row r="16" customFormat="false" ht="15" hidden="false" customHeight="false" outlineLevel="0" collapsed="false">
      <c r="A16" s="6" t="s">
        <v>76</v>
      </c>
      <c r="B16" s="6" t="s">
        <v>72</v>
      </c>
      <c r="C16" s="6" t="s">
        <v>77</v>
      </c>
      <c r="D16" s="6" t="s">
        <v>78</v>
      </c>
      <c r="E16" s="6" t="n">
        <v>1.2</v>
      </c>
      <c r="F16" s="7"/>
      <c r="G16" s="7"/>
      <c r="H16" s="7"/>
      <c r="I16" s="7"/>
      <c r="J16" s="7"/>
      <c r="K16" s="8" t="str">
        <f aca="false">IFERROR(AVERAGE(F16:J16),"")</f>
        <v/>
      </c>
      <c r="L16" s="7"/>
      <c r="M16" s="7"/>
      <c r="N16" s="7"/>
      <c r="O16" s="7"/>
    </row>
    <row r="17" customFormat="false" ht="15" hidden="false" customHeight="false" outlineLevel="0" collapsed="false">
      <c r="A17" s="6" t="s">
        <v>79</v>
      </c>
      <c r="B17" s="6" t="s">
        <v>80</v>
      </c>
      <c r="C17" s="6" t="s">
        <v>73</v>
      </c>
      <c r="D17" s="6" t="s">
        <v>42</v>
      </c>
      <c r="E17" s="6" t="n">
        <v>2.2</v>
      </c>
      <c r="F17" s="7"/>
      <c r="G17" s="7"/>
      <c r="H17" s="7"/>
      <c r="I17" s="7"/>
      <c r="J17" s="7"/>
      <c r="K17" s="8" t="str">
        <f aca="false">IFERROR(AVERAGE(F17:J17),"")</f>
        <v/>
      </c>
      <c r="L17" s="7"/>
      <c r="M17" s="7"/>
      <c r="N17" s="7"/>
      <c r="O17" s="7"/>
    </row>
    <row r="18" customFormat="false" ht="15" hidden="false" customHeight="false" outlineLevel="0" collapsed="false">
      <c r="A18" s="6" t="s">
        <v>81</v>
      </c>
      <c r="B18" s="6" t="s">
        <v>80</v>
      </c>
      <c r="C18" s="6" t="s">
        <v>82</v>
      </c>
      <c r="D18" s="6" t="s">
        <v>70</v>
      </c>
      <c r="E18" s="6" t="n">
        <v>0.8</v>
      </c>
      <c r="F18" s="7"/>
      <c r="G18" s="7"/>
      <c r="H18" s="7"/>
      <c r="I18" s="7"/>
      <c r="J18" s="7"/>
      <c r="K18" s="8" t="str">
        <f aca="false">IFERROR(AVERAGE(F18:J18),"")</f>
        <v/>
      </c>
      <c r="L18" s="7"/>
      <c r="M18" s="7"/>
      <c r="N18" s="7"/>
      <c r="O18" s="7"/>
    </row>
    <row r="19" customFormat="false" ht="15" hidden="false" customHeight="false" outlineLevel="0" collapsed="false">
      <c r="A19" s="6" t="s">
        <v>83</v>
      </c>
      <c r="B19" s="6" t="s">
        <v>80</v>
      </c>
      <c r="C19" s="6" t="s">
        <v>84</v>
      </c>
      <c r="D19" s="6" t="s">
        <v>70</v>
      </c>
      <c r="E19" s="6" t="n">
        <v>1</v>
      </c>
      <c r="F19" s="7"/>
      <c r="G19" s="7"/>
      <c r="H19" s="7"/>
      <c r="I19" s="7"/>
      <c r="J19" s="7"/>
      <c r="K19" s="8" t="str">
        <f aca="false">IFERROR(AVERAGE(F19:J19),"")</f>
        <v/>
      </c>
      <c r="L19" s="7"/>
      <c r="M19" s="7"/>
      <c r="N19" s="7"/>
      <c r="O19" s="7"/>
    </row>
    <row r="20" customFormat="false" ht="15" hidden="false" customHeight="false" outlineLevel="0" collapsed="false">
      <c r="A20" s="6" t="s">
        <v>85</v>
      </c>
      <c r="B20" s="6" t="s">
        <v>86</v>
      </c>
      <c r="C20" s="6" t="s">
        <v>87</v>
      </c>
      <c r="D20" s="6" t="s">
        <v>88</v>
      </c>
      <c r="E20" s="6" t="n">
        <v>7</v>
      </c>
      <c r="F20" s="7"/>
      <c r="G20" s="7"/>
      <c r="H20" s="7"/>
      <c r="I20" s="7"/>
      <c r="J20" s="7"/>
      <c r="K20" s="8" t="str">
        <f aca="false">IFERROR(AVERAGE(F20:J20),"")</f>
        <v/>
      </c>
      <c r="L20" s="7"/>
      <c r="M20" s="7"/>
      <c r="N20" s="7"/>
      <c r="O20" s="7"/>
    </row>
    <row r="21" customFormat="false" ht="15" hidden="false" customHeight="false" outlineLevel="0" collapsed="false">
      <c r="A21" s="6" t="s">
        <v>89</v>
      </c>
      <c r="B21" s="6" t="s">
        <v>90</v>
      </c>
      <c r="C21" s="6" t="s">
        <v>91</v>
      </c>
      <c r="D21" s="6" t="s">
        <v>88</v>
      </c>
      <c r="E21" s="6" t="n">
        <v>12</v>
      </c>
      <c r="F21" s="7"/>
      <c r="G21" s="7"/>
      <c r="H21" s="7"/>
      <c r="I21" s="7"/>
      <c r="J21" s="7"/>
      <c r="K21" s="8" t="str">
        <f aca="false">IFERROR(AVERAGE(F21:J21),"")</f>
        <v/>
      </c>
      <c r="L21" s="7"/>
      <c r="M21" s="7"/>
      <c r="N21" s="7"/>
      <c r="O21" s="7"/>
    </row>
    <row r="22" customFormat="false" ht="15" hidden="false" customHeight="false" outlineLevel="0" collapsed="false">
      <c r="A22" s="6" t="s">
        <v>92</v>
      </c>
      <c r="B22" s="6" t="s">
        <v>93</v>
      </c>
      <c r="C22" s="6" t="s">
        <v>94</v>
      </c>
      <c r="D22" s="6" t="s">
        <v>51</v>
      </c>
      <c r="E22" s="6" t="n">
        <v>2</v>
      </c>
      <c r="F22" s="7"/>
      <c r="G22" s="7"/>
      <c r="H22" s="7"/>
      <c r="I22" s="7"/>
      <c r="J22" s="7"/>
      <c r="K22" s="8" t="str">
        <f aca="false">IFERROR(AVERAGE(F22:J22),"")</f>
        <v/>
      </c>
      <c r="L22" s="7"/>
      <c r="M22" s="7"/>
      <c r="N22" s="7"/>
      <c r="O22" s="7"/>
    </row>
    <row r="23" customFormat="false" ht="15" hidden="false" customHeight="false" outlineLevel="0" collapsed="false">
      <c r="A23" s="6" t="s">
        <v>95</v>
      </c>
      <c r="B23" s="6" t="s">
        <v>96</v>
      </c>
      <c r="C23" s="6" t="s">
        <v>97</v>
      </c>
      <c r="D23" s="6" t="s">
        <v>98</v>
      </c>
      <c r="E23" s="6" t="n">
        <v>25</v>
      </c>
      <c r="F23" s="7"/>
      <c r="G23" s="7"/>
      <c r="H23" s="7"/>
      <c r="I23" s="7"/>
      <c r="J23" s="7"/>
      <c r="K23" s="8" t="str">
        <f aca="false">IFERROR(AVERAGE(F23:J23),"")</f>
        <v/>
      </c>
      <c r="L23" s="7"/>
      <c r="M23" s="7"/>
      <c r="N23" s="7"/>
      <c r="O2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2026-07-31T16:24:09Z</dcterms:created>
  <dc:creator>openpyxl</dc:creator>
  <dc:description/>
  <dc:language>en-US</dc:language>
  <cp:lastModifiedBy/>
  <dcterms:modified xsi:type="dcterms:W3CDTF">2026-07-31T16:24:09Z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